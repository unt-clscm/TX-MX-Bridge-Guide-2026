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nt.sharepoint.com/sites/TxDOT20252026UNTInteragencyContract/Shared Documents/General/Task 1 - Bridges and Border Crossings Guide/Task 1.4 - 2026 Bridge WebApp/Project_Plan/Budget/"/>
    </mc:Choice>
  </mc:AlternateContent>
  <xr:revisionPtr revIDLastSave="572" documentId="8_{6E86F94E-1824-4826-844D-EC064DAECD2C}" xr6:coauthVersionLast="47" xr6:coauthVersionMax="47" xr10:uidLastSave="{2B991828-FD22-44C7-89D8-89CAAD82DCC2}"/>
  <bookViews>
    <workbookView minimized="1" xWindow="3900" yWindow="3900" windowWidth="21600" windowHeight="12645" activeTab="1" xr2:uid="{876EA902-A97E-4740-B142-5E19F44C99CE}"/>
  </bookViews>
  <sheets>
    <sheet name="v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C24" i="2"/>
</calcChain>
</file>

<file path=xl/sharedStrings.xml><?xml version="1.0" encoding="utf-8"?>
<sst xmlns="http://schemas.openxmlformats.org/spreadsheetml/2006/main" count="94" uniqueCount="58">
  <si>
    <t>Reference TxDOT Brand Guidelines for official colors, logos, and standards</t>
  </si>
  <si>
    <t>Brand Alignment:</t>
  </si>
  <si>
    <t>Verify alignment with TxDOT brand identity</t>
  </si>
  <si>
    <t>Cross-browser testing</t>
  </si>
  <si>
    <t>PDF quality verification</t>
  </si>
  <si>
    <t>Link checking and validation</t>
  </si>
  <si>
    <t>Performance testing</t>
  </si>
  <si>
    <t>Content adjustments and refinements</t>
  </si>
  <si>
    <t>TxDOT Design Implementation:</t>
  </si>
  <si>
    <t>Final edits and quality assurance</t>
  </si>
  <si>
    <t>Phase 1: Data Preparation \ Content Migration</t>
  </si>
  <si>
    <t>Extract and replicate navigation structure, header/footer, color scheme, typography ✓ Done — IBM Plex Sans, TxDOT brand colors implemented</t>
  </si>
  <si>
    <t>Structure data spreadsheets (CSV) and text document (Markdown) templates</t>
  </si>
  <si>
    <t>Migrate data from 2025 Bridge Guidebook PDFs and populate CSV and Markdown files</t>
  </si>
  <si>
    <t>Update data as 2025 data becomes available</t>
  </si>
  <si>
    <t>QA/QC CSV and Markdown files (No duplicated data across files)</t>
  </si>
  <si>
    <t>Consolidate information in spreadsheets, PPT, and PDFs into fewer files to allow for data checking</t>
  </si>
  <si>
    <r>
      <t>Phase 2: Foundation</t>
    </r>
    <r>
      <rPr>
        <sz val="12"/>
        <color rgb="FF1F2328"/>
        <rFont val="Segoe UI"/>
        <family val="2"/>
      </rPr>
      <t> </t>
    </r>
  </si>
  <si>
    <t>Build website architecture</t>
  </si>
  <si>
    <r>
      <t>Phase 3: Core Development</t>
    </r>
    <r>
      <rPr>
        <sz val="12"/>
        <color rgb="FF1F2328"/>
        <rFont val="Segoe UI"/>
        <family val="2"/>
      </rPr>
      <t> </t>
    </r>
  </si>
  <si>
    <t>Build scripts for web page and PDF generation (automation)</t>
  </si>
  <si>
    <t>Revise StoryMap structure to accommodate additional Mexican data</t>
  </si>
  <si>
    <t xml:space="preserve">ArcGIS Online (AGOL) map integration and configuration </t>
  </si>
  <si>
    <t>Translate website text to allow for bilingual navigation and language switching</t>
  </si>
  <si>
    <t>Embed interactive data visualizations (graphs, tables)</t>
  </si>
  <si>
    <t>Phase 4: Design \ Style</t>
  </si>
  <si>
    <t xml:space="preserve"> Update StoryMap text, all graphics, Tableau Dashboards, information cards, and 64 pdf documents manually by copying text from consolidated data sources in StoryMap components</t>
  </si>
  <si>
    <r>
      <t>Phase 4: Design \ Style</t>
    </r>
    <r>
      <rPr>
        <sz val="12"/>
        <color rgb="FF1F2328"/>
        <rFont val="Segoe UI"/>
        <family val="2"/>
      </rPr>
      <t> </t>
    </r>
  </si>
  <si>
    <t>Limited to StoryMap platform constraints</t>
  </si>
  <si>
    <t>Phase 5: Testing, QA \ Deployment</t>
  </si>
  <si>
    <r>
      <t>Phase 6: Revisions \ Final Edits</t>
    </r>
    <r>
      <rPr>
        <sz val="12"/>
        <color rgb="FF1F2328"/>
        <rFont val="Segoe UI"/>
        <family val="2"/>
      </rPr>
      <t> </t>
    </r>
  </si>
  <si>
    <t>TxDOT review and feedback</t>
  </si>
  <si>
    <t>Meet TxDOT guidance for website accessibility requirements</t>
  </si>
  <si>
    <t>Meet accessibility requirements (currently no guidance for StoryMaps</t>
  </si>
  <si>
    <r>
      <t>Phase 5: Testing, QA \ Deployment</t>
    </r>
    <r>
      <rPr>
        <sz val="12"/>
        <color rgb="FF1F2328"/>
        <rFont val="Segoe UI"/>
        <family val="2"/>
      </rPr>
      <t> </t>
    </r>
  </si>
  <si>
    <t>Process testing with full dataset</t>
  </si>
  <si>
    <t xml:space="preserve"> Website (Hours)</t>
  </si>
  <si>
    <t>StoryMap (Hours)</t>
  </si>
  <si>
    <t>Future updates only involves Phase 1 (update of data) and 6 (final checks before publishing)</t>
  </si>
  <si>
    <t>Future updates involves Phase 1 (update of data), 3, 5, and 6 (final checks before publishing)</t>
  </si>
  <si>
    <t>Conduct rigorous QA/QC - Check data is consistent across StoryMap text, tableau, information cards, pdf documents, graphs and visualizations</t>
  </si>
  <si>
    <t>Website Tasks</t>
  </si>
  <si>
    <t>StoryMap Tasks</t>
  </si>
  <si>
    <t>Total Hours</t>
  </si>
  <si>
    <t>Update StoryMap text, all graphics, Tableau Dashboards, information cards, and 64 pdf documents manually by copying text from consolidated data sources in StoryMap components</t>
  </si>
  <si>
    <t>Meet accessibility requirements (currently no guidance for StoryMaps)</t>
  </si>
  <si>
    <t>Translate website text to allow for bilingual navigation</t>
  </si>
  <si>
    <t xml:space="preserve">Phase 2: Core Development </t>
  </si>
  <si>
    <t>Phase 3: Design \ Style</t>
  </si>
  <si>
    <t xml:space="preserve">Phase 5: Revisions \ Final Edits </t>
  </si>
  <si>
    <t xml:space="preserve">ArcGIS Online (AGOL) map development, integration and configuration </t>
  </si>
  <si>
    <t xml:space="preserve">Phase 4: Testing, QA and Deployment </t>
  </si>
  <si>
    <t xml:space="preserve">Cross-browser testing, PDF verification, and performance testing	</t>
  </si>
  <si>
    <t>Future updates involves Phase 1 + 2 + 4 + 5 = ~120 (data) + 200 (core dev) + 80 (testing) + 120 (revisions) = ~520 hrs/cy</t>
  </si>
  <si>
    <t>Future updates only involves Phase 1 + 4 + 5 = ~136 (data) + 90 (testing) + 40 (revisions) = ~266 hrs/cycle</t>
  </si>
  <si>
    <t xml:space="preserve">Design data architecture (CSV/Markdown) and migrate content from 2025 Bridge Guidebook PDFs	</t>
  </si>
  <si>
    <t xml:space="preserve"> Hours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</si>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</sst>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4"/>
      <color theme="1"/>
      <name val="Calibri"/>
      <family val="2"/>
      <scheme val="minor"/>
    </font>
    <font>
      <b/>
      <sz val="12"/>
      <color rgb="FF1F2328"/>
      <name val="Segoe UI"/>
    </font>
    <font>
      <b/>
      <sz val="14"/>
      <color rgb="FFFFFFFF"/>
      <name val="Calibri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Segoe UI"/>
    </font>
    <font>
      <b/>
      <i/>
      <sz val="12"/>
      <color rgb="FF1F2328"/>
      <name val="Segoe UI"/>
      <family val="2"/>
    </font>
    <font>
      <i/>
      <sz val="11"/>
      <color rgb="FF4472C4"/>
      <name val="Segoe UI"/>
    </font>
    <font>
      <i/>
      <sz val="11"/>
      <color rgb="FF4472C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 style="thin">
        <color rgb="FFB4B4B4"/>
      </left>
      <right/>
      <top style="thin">
        <color rgb="FFB4B4B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medium">
        <color rgb="FF000000"/>
      </left>
      <right style="thin">
        <color rgb="FFB4B4B4"/>
      </right>
      <top style="thin">
        <color rgb="FFB4B4B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B4B4B4"/>
      </bottom>
      <diagonal/>
    </border>
    <border>
      <left style="medium">
        <color rgb="FF000000"/>
      </left>
      <right/>
      <top style="thin">
        <color rgb="FFB4B4B4"/>
      </top>
      <bottom style="thin">
        <color rgb="FFB4B4B4"/>
      </bottom>
      <diagonal/>
    </border>
    <border>
      <left style="medium">
        <color rgb="FF000000"/>
      </left>
      <right/>
      <top style="thin">
        <color rgb="FFB4B4B4"/>
      </top>
      <bottom/>
      <diagonal/>
    </border>
    <border>
      <left style="medium">
        <color rgb="FF000000"/>
      </left>
      <right style="thin">
        <color rgb="FFB4B4B4"/>
      </right>
      <top/>
      <bottom style="thin">
        <color rgb="FFB4B4B4"/>
      </bottom>
      <diagonal/>
    </border>
    <border>
      <left style="medium">
        <color rgb="FF000000"/>
      </left>
      <right style="thin">
        <color rgb="FFB4B4B4"/>
      </right>
      <top style="thin">
        <color rgb="FFB4B4B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B4B4B4"/>
      </right>
      <top style="medium">
        <color rgb="FF4472C4"/>
      </top>
      <bottom style="medium">
        <color rgb="FF4472C4"/>
      </bottom>
      <diagonal/>
    </border>
    <border>
      <left style="thin">
        <color rgb="FFB4B4B4"/>
      </left>
      <right/>
      <top style="medium">
        <color rgb="FF4472C4"/>
      </top>
      <bottom style="medium">
        <color rgb="FF4472C4"/>
      </bottom>
      <diagonal/>
    </border>
    <border>
      <left style="medium">
        <color rgb="FF000000"/>
      </left>
      <right style="thin">
        <color rgb="FFB4B4B4"/>
      </right>
      <top/>
      <bottom/>
      <diagonal/>
    </border>
    <border>
      <left style="thin">
        <color rgb="FFB4B4B4"/>
      </left>
      <right/>
      <top/>
      <bottom/>
      <diagonal/>
    </border>
    <border>
      <left style="thin">
        <color rgb="FFB4B4B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B4B4B4"/>
      </right>
      <top/>
      <bottom style="medium">
        <color rgb="FF4472C4"/>
      </bottom>
      <diagonal/>
    </border>
    <border>
      <left style="thin">
        <color rgb="FFB4B4B4"/>
      </left>
      <right/>
      <top/>
      <bottom style="medium">
        <color rgb="FF4472C4"/>
      </bottom>
      <diagonal/>
    </border>
    <border>
      <left style="medium">
        <color rgb="FF000000"/>
      </left>
      <right style="thin">
        <color rgb="FFB4B4B4"/>
      </right>
      <top style="medium">
        <color rgb="FF000000"/>
      </top>
      <bottom style="medium">
        <color rgb="FF000000"/>
      </bottom>
      <diagonal/>
    </border>
    <border>
      <left style="thin">
        <color rgb="FFB4B4B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B4B4B4"/>
      </right>
      <top/>
      <bottom/>
      <diagonal/>
    </border>
    <border>
      <left style="medium">
        <color rgb="FF000000"/>
      </left>
      <right/>
      <top/>
      <bottom style="medium">
        <color rgb="FF4472C4"/>
      </bottom>
      <diagonal/>
    </border>
    <border>
      <left style="medium">
        <color rgb="FF000000"/>
      </left>
      <right/>
      <top style="medium">
        <color rgb="FF4472C4"/>
      </top>
      <bottom style="medium">
        <color rgb="FF4472C4"/>
      </bottom>
      <diagonal/>
    </border>
    <border>
      <left/>
      <right style="medium">
        <color rgb="FF000000"/>
      </right>
      <top/>
      <bottom style="medium">
        <color rgb="FF4472C4"/>
      </bottom>
      <diagonal/>
    </border>
    <border>
      <left/>
      <right style="medium">
        <color rgb="FF000000"/>
      </right>
      <top/>
      <bottom style="thin">
        <color rgb="FFB4B4B4"/>
      </bottom>
      <diagonal/>
    </border>
    <border>
      <left/>
      <right style="medium">
        <color rgb="FF000000"/>
      </right>
      <top style="thin">
        <color rgb="FFB4B4B4"/>
      </top>
      <bottom style="thin">
        <color rgb="FFB4B4B4"/>
      </bottom>
      <diagonal/>
    </border>
    <border>
      <left/>
      <right style="medium">
        <color rgb="FF000000"/>
      </right>
      <top style="thin">
        <color rgb="FFB4B4B4"/>
      </top>
      <bottom/>
      <diagonal/>
    </border>
    <border>
      <left/>
      <right style="medium">
        <color rgb="FF000000"/>
      </right>
      <top style="medium">
        <color rgb="FF4472C4"/>
      </top>
      <bottom style="medium">
        <color rgb="FF4472C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left" vertical="center" wrapText="1" indent="2"/>
    </xf>
    <xf numFmtId="0" fontId="1" fillId="0" borderId="11" xfId="0" applyFont="1" applyBorder="1" applyAlignment="1">
      <alignment horizontal="left" vertical="center" wrapText="1" indent="1"/>
    </xf>
    <xf numFmtId="0" fontId="1" fillId="0" borderId="13" xfId="0" applyFont="1" applyBorder="1" applyAlignment="1">
      <alignment horizontal="left" vertical="center" wrapText="1" indent="1"/>
    </xf>
    <xf numFmtId="0" fontId="1" fillId="0" borderId="1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 indent="1"/>
    </xf>
    <xf numFmtId="0" fontId="1" fillId="0" borderId="18" xfId="0" applyFont="1" applyBorder="1" applyAlignment="1">
      <alignment horizontal="center" vertical="center" wrapText="1"/>
    </xf>
    <xf numFmtId="0" fontId="4" fillId="2" borderId="20" xfId="0" applyFont="1" applyFill="1" applyBorder="1" applyAlignment="1">
      <alignment vertical="center" wrapText="1"/>
    </xf>
    <xf numFmtId="0" fontId="0" fillId="2" borderId="21" xfId="0" applyFill="1" applyBorder="1"/>
    <xf numFmtId="0" fontId="5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 vertical="center" wrapText="1" indent="1"/>
    </xf>
    <xf numFmtId="0" fontId="8" fillId="0" borderId="12" xfId="0" applyFont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7" fillId="3" borderId="25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 indent="1"/>
    </xf>
    <xf numFmtId="0" fontId="0" fillId="4" borderId="6" xfId="0" applyFill="1" applyBorder="1"/>
    <xf numFmtId="0" fontId="1" fillId="4" borderId="13" xfId="0" applyFont="1" applyFill="1" applyBorder="1" applyAlignment="1">
      <alignment horizontal="left" vertical="center" wrapText="1" indent="1"/>
    </xf>
    <xf numFmtId="0" fontId="1" fillId="4" borderId="6" xfId="0" applyFont="1" applyFill="1" applyBorder="1" applyAlignment="1">
      <alignment horizontal="left" vertical="center" wrapText="1" indent="2"/>
    </xf>
    <xf numFmtId="0" fontId="2" fillId="4" borderId="6" xfId="0" applyFont="1" applyFill="1" applyBorder="1" applyAlignment="1">
      <alignment horizontal="left" vertical="center" wrapText="1" indent="1"/>
    </xf>
    <xf numFmtId="0" fontId="1" fillId="4" borderId="13" xfId="0" applyFont="1" applyFill="1" applyBorder="1" applyAlignment="1">
      <alignment horizontal="left" vertical="center" wrapText="1" indent="2"/>
    </xf>
    <xf numFmtId="0" fontId="5" fillId="3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 indent="1"/>
    </xf>
    <xf numFmtId="0" fontId="4" fillId="2" borderId="29" xfId="0" applyFont="1" applyFill="1" applyBorder="1" applyAlignment="1">
      <alignment vertical="center" wrapText="1"/>
    </xf>
    <xf numFmtId="0" fontId="8" fillId="0" borderId="9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left" vertical="center" wrapText="1" indent="2"/>
    </xf>
    <xf numFmtId="0" fontId="1" fillId="0" borderId="8" xfId="0" applyFont="1" applyBorder="1" applyAlignment="1">
      <alignment horizontal="left" vertical="center" wrapText="1" indent="1"/>
    </xf>
    <xf numFmtId="0" fontId="7" fillId="3" borderId="19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/>
    </xf>
    <xf numFmtId="0" fontId="0" fillId="2" borderId="30" xfId="0" applyFill="1" applyBorder="1"/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F1DD9A-67F9-4C20-965E-DB4DD6E6E431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8927-CB55-415D-8D98-FF4334823A96}">
  <dimension ref="B1:E34"/>
  <sheetViews>
    <sheetView workbookViewId="0">
      <selection activeCell="C31" sqref="C4:C31"/>
    </sheetView>
  </sheetViews>
  <sheetFormatPr defaultRowHeight="15" x14ac:dyDescent="0.25"/>
  <cols>
    <col min="2" max="2" width="84.5703125" customWidth="1"/>
    <col min="3" max="3" width="31.85546875" customWidth="1"/>
    <col min="4" max="4" width="63.85546875" customWidth="1"/>
    <col min="5" max="5" width="34.42578125" customWidth="1"/>
  </cols>
  <sheetData>
    <row r="1" spans="2:5" ht="18.75" x14ac:dyDescent="0.3">
      <c r="C1" s="5" t="s">
        <v>36</v>
      </c>
      <c r="E1" s="5" t="s">
        <v>37</v>
      </c>
    </row>
    <row r="2" spans="2:5" ht="15" customHeight="1" x14ac:dyDescent="0.25"/>
    <row r="3" spans="2:5" ht="15" customHeight="1" x14ac:dyDescent="0.25">
      <c r="B3" s="1" t="s">
        <v>10</v>
      </c>
      <c r="D3" s="1" t="s">
        <v>10</v>
      </c>
    </row>
    <row r="4" spans="2:5" ht="34.5" customHeight="1" x14ac:dyDescent="0.25">
      <c r="B4" s="2" t="s">
        <v>12</v>
      </c>
      <c r="C4" s="6">
        <v>40</v>
      </c>
      <c r="D4" s="2" t="s">
        <v>16</v>
      </c>
      <c r="E4" s="6">
        <v>60</v>
      </c>
    </row>
    <row r="5" spans="2:5" ht="15" customHeight="1" x14ac:dyDescent="0.25">
      <c r="B5" s="2" t="s">
        <v>13</v>
      </c>
      <c r="C5" s="6">
        <v>40</v>
      </c>
      <c r="D5" s="2" t="s">
        <v>14</v>
      </c>
      <c r="E5" s="6">
        <v>120</v>
      </c>
    </row>
    <row r="6" spans="2:5" ht="15" customHeight="1" x14ac:dyDescent="0.25">
      <c r="B6" s="2" t="s">
        <v>14</v>
      </c>
      <c r="C6" s="6">
        <v>120</v>
      </c>
      <c r="E6" s="6"/>
    </row>
    <row r="7" spans="2:5" ht="15" customHeight="1" x14ac:dyDescent="0.25">
      <c r="B7" s="2" t="s">
        <v>15</v>
      </c>
      <c r="C7" s="6">
        <v>16</v>
      </c>
      <c r="D7" s="2"/>
      <c r="E7" s="6"/>
    </row>
    <row r="8" spans="2:5" ht="15" customHeight="1" x14ac:dyDescent="0.25">
      <c r="B8" s="1" t="s">
        <v>17</v>
      </c>
      <c r="C8" s="6"/>
      <c r="D8" s="1" t="s">
        <v>17</v>
      </c>
      <c r="E8" s="6"/>
    </row>
    <row r="9" spans="2:5" ht="44.25" customHeight="1" x14ac:dyDescent="0.25">
      <c r="B9" s="2" t="s">
        <v>18</v>
      </c>
      <c r="C9" s="6">
        <v>120</v>
      </c>
      <c r="D9" s="2" t="s">
        <v>21</v>
      </c>
      <c r="E9" s="6">
        <v>40</v>
      </c>
    </row>
    <row r="10" spans="2:5" ht="15" customHeight="1" x14ac:dyDescent="0.25">
      <c r="B10" s="1" t="s">
        <v>19</v>
      </c>
      <c r="C10" s="6"/>
      <c r="D10" s="1" t="s">
        <v>19</v>
      </c>
      <c r="E10" s="6"/>
    </row>
    <row r="11" spans="2:5" ht="68.25" customHeight="1" x14ac:dyDescent="0.25">
      <c r="B11" s="2" t="s">
        <v>20</v>
      </c>
      <c r="C11" s="6">
        <v>80</v>
      </c>
      <c r="D11" s="2" t="s">
        <v>26</v>
      </c>
      <c r="E11" s="6">
        <v>160</v>
      </c>
    </row>
    <row r="12" spans="2:5" ht="15" customHeight="1" x14ac:dyDescent="0.25">
      <c r="B12" s="2" t="s">
        <v>22</v>
      </c>
      <c r="C12" s="6">
        <v>40</v>
      </c>
      <c r="D12" s="2"/>
      <c r="E12" s="6"/>
    </row>
    <row r="13" spans="2:5" ht="15" customHeight="1" x14ac:dyDescent="0.25">
      <c r="B13" s="2" t="s">
        <v>23</v>
      </c>
      <c r="C13" s="6">
        <v>40</v>
      </c>
      <c r="D13" s="2"/>
      <c r="E13" s="6"/>
    </row>
    <row r="14" spans="2:5" ht="15" customHeight="1" x14ac:dyDescent="0.25">
      <c r="B14" s="2" t="s">
        <v>24</v>
      </c>
      <c r="C14" s="6">
        <v>40</v>
      </c>
      <c r="D14" s="2"/>
      <c r="E14" s="6"/>
    </row>
    <row r="15" spans="2:5" ht="15" customHeight="1" x14ac:dyDescent="0.25">
      <c r="B15" s="1" t="s">
        <v>25</v>
      </c>
      <c r="C15" s="6"/>
      <c r="D15" s="1" t="s">
        <v>27</v>
      </c>
      <c r="E15" s="6"/>
    </row>
    <row r="16" spans="2:5" ht="15" customHeight="1" x14ac:dyDescent="0.25">
      <c r="B16" s="3" t="s">
        <v>8</v>
      </c>
      <c r="C16" s="6"/>
      <c r="D16" s="2" t="s">
        <v>28</v>
      </c>
      <c r="E16" s="6"/>
    </row>
    <row r="17" spans="2:5" ht="15" customHeight="1" x14ac:dyDescent="0.25">
      <c r="B17" s="4" t="s">
        <v>11</v>
      </c>
      <c r="C17" s="6">
        <v>25</v>
      </c>
      <c r="D17" s="2" t="s">
        <v>33</v>
      </c>
      <c r="E17" s="6">
        <v>40</v>
      </c>
    </row>
    <row r="18" spans="2:5" ht="17.25" customHeight="1" x14ac:dyDescent="0.25">
      <c r="B18" s="4" t="s">
        <v>0</v>
      </c>
      <c r="C18" s="6">
        <v>25</v>
      </c>
      <c r="D18" s="4"/>
      <c r="E18" s="6"/>
    </row>
    <row r="19" spans="2:5" ht="15" customHeight="1" x14ac:dyDescent="0.25">
      <c r="B19" s="4" t="s">
        <v>32</v>
      </c>
      <c r="C19" s="6">
        <v>25</v>
      </c>
      <c r="D19" s="4"/>
      <c r="E19" s="6"/>
    </row>
    <row r="20" spans="2:5" ht="15" customHeight="1" x14ac:dyDescent="0.25">
      <c r="B20" s="3" t="s">
        <v>1</v>
      </c>
      <c r="C20" s="6"/>
      <c r="D20" s="3"/>
      <c r="E20" s="6"/>
    </row>
    <row r="21" spans="2:5" ht="15" customHeight="1" x14ac:dyDescent="0.25">
      <c r="B21" s="4" t="s">
        <v>2</v>
      </c>
      <c r="C21" s="6">
        <v>32</v>
      </c>
      <c r="D21" s="4"/>
      <c r="E21" s="6"/>
    </row>
    <row r="22" spans="2:5" ht="15" customHeight="1" x14ac:dyDescent="0.25">
      <c r="B22" s="1" t="s">
        <v>34</v>
      </c>
      <c r="C22" s="6"/>
      <c r="D22" s="1" t="s">
        <v>29</v>
      </c>
      <c r="E22" s="6"/>
    </row>
    <row r="23" spans="2:5" ht="14.25" customHeight="1" x14ac:dyDescent="0.25">
      <c r="B23" s="2" t="s">
        <v>35</v>
      </c>
      <c r="C23" s="6">
        <v>40</v>
      </c>
      <c r="D23" s="2" t="s">
        <v>40</v>
      </c>
      <c r="E23" s="6">
        <v>80</v>
      </c>
    </row>
    <row r="24" spans="2:5" ht="36.75" customHeight="1" x14ac:dyDescent="0.25">
      <c r="B24" s="2" t="s">
        <v>3</v>
      </c>
      <c r="C24" s="6">
        <v>40</v>
      </c>
      <c r="D24" s="2"/>
      <c r="E24" s="6"/>
    </row>
    <row r="25" spans="2:5" ht="15" customHeight="1" x14ac:dyDescent="0.25">
      <c r="B25" s="2" t="s">
        <v>4</v>
      </c>
      <c r="C25" s="6">
        <v>8</v>
      </c>
      <c r="D25" s="2"/>
      <c r="E25" s="6"/>
    </row>
    <row r="26" spans="2:5" ht="15" customHeight="1" x14ac:dyDescent="0.25">
      <c r="B26" s="2" t="s">
        <v>5</v>
      </c>
      <c r="C26" s="6">
        <v>8</v>
      </c>
      <c r="D26" s="2"/>
      <c r="E26" s="6"/>
    </row>
    <row r="27" spans="2:5" ht="15" customHeight="1" x14ac:dyDescent="0.25">
      <c r="B27" s="2" t="s">
        <v>6</v>
      </c>
      <c r="C27" s="6">
        <v>8</v>
      </c>
      <c r="D27" s="2"/>
      <c r="E27" s="6"/>
    </row>
    <row r="28" spans="2:5" ht="15" customHeight="1" x14ac:dyDescent="0.25">
      <c r="B28" s="1" t="s">
        <v>30</v>
      </c>
      <c r="C28" s="6"/>
      <c r="D28" s="1" t="s">
        <v>30</v>
      </c>
      <c r="E28" s="6"/>
    </row>
    <row r="29" spans="2:5" ht="15" customHeight="1" x14ac:dyDescent="0.25">
      <c r="B29" s="2" t="s">
        <v>31</v>
      </c>
      <c r="C29" s="6"/>
      <c r="D29" s="2" t="s">
        <v>31</v>
      </c>
      <c r="E29" s="6"/>
    </row>
    <row r="30" spans="2:5" ht="15" customHeight="1" x14ac:dyDescent="0.25">
      <c r="B30" s="2" t="s">
        <v>7</v>
      </c>
      <c r="C30" s="6">
        <v>20</v>
      </c>
      <c r="D30" s="2" t="s">
        <v>7</v>
      </c>
      <c r="E30" s="6">
        <v>60</v>
      </c>
    </row>
    <row r="31" spans="2:5" ht="15" customHeight="1" x14ac:dyDescent="0.25">
      <c r="B31" s="2" t="s">
        <v>9</v>
      </c>
      <c r="C31" s="6">
        <v>8</v>
      </c>
      <c r="D31" s="2" t="s">
        <v>9</v>
      </c>
      <c r="E31" s="6">
        <v>60</v>
      </c>
    </row>
    <row r="32" spans="2:5" ht="15" customHeight="1" x14ac:dyDescent="0.25">
      <c r="B32" s="2"/>
      <c r="C32" s="6"/>
      <c r="D32" s="2"/>
      <c r="E32" s="6"/>
    </row>
    <row r="33" spans="2:4" ht="15" customHeight="1" x14ac:dyDescent="0.25">
      <c r="B33" s="2"/>
    </row>
    <row r="34" spans="2:4" ht="34.5" x14ac:dyDescent="0.25">
      <c r="B34" s="2" t="s">
        <v>38</v>
      </c>
      <c r="D34" s="2" t="s">
        <v>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6A0D-DFF7-43E7-B241-8C084D444035}">
  <dimension ref="B1:E26"/>
  <sheetViews>
    <sheetView tabSelected="1" workbookViewId="0">
      <selection activeCell="D28" sqref="D28"/>
    </sheetView>
  </sheetViews>
  <sheetFormatPr defaultRowHeight="15" x14ac:dyDescent="0.25"/>
  <cols>
    <col min="1" max="1" width="1.85546875" customWidth="1"/>
    <col min="2" max="2" width="85.7109375" customWidth="1"/>
    <col min="3" max="3" width="19" customWidth="1"/>
    <col min="4" max="4" width="85.7109375" customWidth="1"/>
    <col min="5" max="5" width="19" customWidth="1"/>
  </cols>
  <sheetData>
    <row r="1" spans="2:5" ht="20.100000000000001" customHeight="1" thickBot="1" x14ac:dyDescent="0.35">
      <c r="B1" s="37" t="s">
        <v>41</v>
      </c>
      <c r="C1" s="25" t="s">
        <v>56</v>
      </c>
      <c r="D1" s="24" t="s">
        <v>42</v>
      </c>
      <c r="E1" s="45" t="s">
        <v>57</v>
      </c>
    </row>
    <row r="2" spans="2:5" ht="20.100000000000001" customHeight="1" thickBot="1" x14ac:dyDescent="0.3">
      <c r="B2" s="38" t="s">
        <v>10</v>
      </c>
      <c r="C2" s="23"/>
      <c r="D2" s="22" t="s">
        <v>10</v>
      </c>
      <c r="E2" s="46"/>
    </row>
    <row r="3" spans="2:5" ht="34.5" x14ac:dyDescent="0.25">
      <c r="B3" s="39" t="s">
        <v>55</v>
      </c>
      <c r="C3" s="17">
        <v>80</v>
      </c>
      <c r="D3" s="16" t="s">
        <v>16</v>
      </c>
      <c r="E3" s="47">
        <v>60</v>
      </c>
    </row>
    <row r="4" spans="2:5" ht="20.100000000000001" customHeight="1" x14ac:dyDescent="0.25">
      <c r="B4" s="12" t="s">
        <v>14</v>
      </c>
      <c r="C4" s="7">
        <v>120</v>
      </c>
      <c r="D4" s="10" t="s">
        <v>14</v>
      </c>
      <c r="E4" s="48">
        <v>120</v>
      </c>
    </row>
    <row r="5" spans="2:5" ht="20.100000000000001" customHeight="1" x14ac:dyDescent="0.25">
      <c r="B5" s="12" t="s">
        <v>15</v>
      </c>
      <c r="C5" s="7">
        <v>16</v>
      </c>
      <c r="D5" s="32"/>
      <c r="E5" s="49"/>
    </row>
    <row r="6" spans="2:5" ht="20.100000000000001" customHeight="1" thickBot="1" x14ac:dyDescent="0.3">
      <c r="B6" s="14" t="s">
        <v>46</v>
      </c>
      <c r="C6" s="8">
        <v>80</v>
      </c>
      <c r="D6" s="33"/>
      <c r="E6" s="50"/>
    </row>
    <row r="7" spans="2:5" ht="20.100000000000001" customHeight="1" thickBot="1" x14ac:dyDescent="0.3">
      <c r="B7" s="40" t="s">
        <v>47</v>
      </c>
      <c r="C7" s="19"/>
      <c r="D7" s="18" t="s">
        <v>47</v>
      </c>
      <c r="E7" s="51"/>
    </row>
    <row r="8" spans="2:5" ht="20.100000000000001" customHeight="1" x14ac:dyDescent="0.25">
      <c r="B8" s="39" t="s">
        <v>20</v>
      </c>
      <c r="C8" s="17">
        <v>80</v>
      </c>
      <c r="D8" s="16" t="s">
        <v>21</v>
      </c>
      <c r="E8" s="47">
        <v>40</v>
      </c>
    </row>
    <row r="9" spans="2:5" ht="51.75" x14ac:dyDescent="0.25">
      <c r="B9" s="12" t="s">
        <v>50</v>
      </c>
      <c r="C9" s="7">
        <v>80</v>
      </c>
      <c r="D9" s="10" t="s">
        <v>44</v>
      </c>
      <c r="E9" s="48">
        <v>160</v>
      </c>
    </row>
    <row r="10" spans="2:5" ht="20.100000000000001" customHeight="1" thickBot="1" x14ac:dyDescent="0.3">
      <c r="B10" s="14" t="s">
        <v>24</v>
      </c>
      <c r="C10" s="8">
        <v>80</v>
      </c>
      <c r="D10" s="15"/>
      <c r="E10" s="52"/>
    </row>
    <row r="11" spans="2:5" ht="20.100000000000001" customHeight="1" thickBot="1" x14ac:dyDescent="0.3">
      <c r="B11" s="40" t="s">
        <v>48</v>
      </c>
      <c r="C11" s="19"/>
      <c r="D11" s="18" t="s">
        <v>48</v>
      </c>
      <c r="E11" s="51"/>
    </row>
    <row r="12" spans="2:5" ht="20.100000000000001" customHeight="1" x14ac:dyDescent="0.25">
      <c r="B12" s="41" t="s">
        <v>8</v>
      </c>
      <c r="C12" s="17"/>
      <c r="D12" s="27" t="s">
        <v>28</v>
      </c>
      <c r="E12" s="47"/>
    </row>
    <row r="13" spans="2:5" ht="34.5" x14ac:dyDescent="0.25">
      <c r="B13" s="13" t="s">
        <v>11</v>
      </c>
      <c r="C13" s="7">
        <v>16</v>
      </c>
      <c r="D13" s="10" t="s">
        <v>45</v>
      </c>
      <c r="E13" s="48">
        <v>40</v>
      </c>
    </row>
    <row r="14" spans="2:5" ht="20.100000000000001" customHeight="1" x14ac:dyDescent="0.25">
      <c r="B14" s="13" t="s">
        <v>0</v>
      </c>
      <c r="C14" s="7">
        <v>16</v>
      </c>
      <c r="D14" s="34"/>
      <c r="E14" s="49"/>
    </row>
    <row r="15" spans="2:5" ht="20.100000000000001" customHeight="1" x14ac:dyDescent="0.25">
      <c r="B15" s="13" t="s">
        <v>32</v>
      </c>
      <c r="C15" s="7">
        <v>32</v>
      </c>
      <c r="D15" s="34"/>
      <c r="E15" s="49"/>
    </row>
    <row r="16" spans="2:5" ht="20.100000000000001" customHeight="1" x14ac:dyDescent="0.25">
      <c r="B16" s="31" t="s">
        <v>1</v>
      </c>
      <c r="C16" s="7"/>
      <c r="D16" s="35"/>
      <c r="E16" s="49"/>
    </row>
    <row r="17" spans="2:5" ht="20.100000000000001" customHeight="1" thickBot="1" x14ac:dyDescent="0.3">
      <c r="B17" s="42" t="s">
        <v>2</v>
      </c>
      <c r="C17" s="8">
        <v>20</v>
      </c>
      <c r="D17" s="36"/>
      <c r="E17" s="50"/>
    </row>
    <row r="18" spans="2:5" ht="20.100000000000001" customHeight="1" thickBot="1" x14ac:dyDescent="0.3">
      <c r="B18" s="40" t="s">
        <v>51</v>
      </c>
      <c r="C18" s="19"/>
      <c r="D18" s="18" t="s">
        <v>51</v>
      </c>
      <c r="E18" s="51"/>
    </row>
    <row r="19" spans="2:5" ht="35.25" thickBot="1" x14ac:dyDescent="0.3">
      <c r="B19" s="43" t="s">
        <v>52</v>
      </c>
      <c r="C19" s="21">
        <v>90</v>
      </c>
      <c r="D19" s="20" t="s">
        <v>40</v>
      </c>
      <c r="E19" s="53">
        <v>80</v>
      </c>
    </row>
    <row r="20" spans="2:5" ht="20.100000000000001" customHeight="1" thickBot="1" x14ac:dyDescent="0.3">
      <c r="B20" s="40" t="s">
        <v>49</v>
      </c>
      <c r="C20" s="19"/>
      <c r="D20" s="18" t="s">
        <v>49</v>
      </c>
      <c r="E20" s="51"/>
    </row>
    <row r="21" spans="2:5" ht="20.100000000000001" customHeight="1" x14ac:dyDescent="0.25">
      <c r="B21" s="39" t="s">
        <v>31</v>
      </c>
      <c r="C21" s="17"/>
      <c r="D21" s="16" t="s">
        <v>31</v>
      </c>
      <c r="E21" s="47"/>
    </row>
    <row r="22" spans="2:5" ht="20.100000000000001" customHeight="1" x14ac:dyDescent="0.25">
      <c r="B22" s="12" t="s">
        <v>7</v>
      </c>
      <c r="C22" s="7">
        <v>25</v>
      </c>
      <c r="D22" s="10" t="s">
        <v>7</v>
      </c>
      <c r="E22" s="48">
        <v>60</v>
      </c>
    </row>
    <row r="23" spans="2:5" ht="20.100000000000001" customHeight="1" thickBot="1" x14ac:dyDescent="0.3">
      <c r="B23" s="14" t="s">
        <v>9</v>
      </c>
      <c r="C23" s="9">
        <v>20</v>
      </c>
      <c r="D23" s="11" t="s">
        <v>9</v>
      </c>
      <c r="E23" s="52">
        <v>60</v>
      </c>
    </row>
    <row r="24" spans="2:5" ht="20.100000000000001" customHeight="1" x14ac:dyDescent="0.25">
      <c r="B24" s="26" t="s">
        <v>43</v>
      </c>
      <c r="C24" s="44">
        <f>SUM(C3:C23)</f>
        <v>755</v>
      </c>
      <c r="D24" s="54" t="s">
        <v>43</v>
      </c>
      <c r="E24" s="30">
        <f>SUM(E3:E23)</f>
        <v>620</v>
      </c>
    </row>
    <row r="25" spans="2:5" ht="15" customHeight="1" x14ac:dyDescent="0.25">
      <c r="B25" s="2"/>
    </row>
    <row r="26" spans="2:5" ht="33" x14ac:dyDescent="0.25">
      <c r="B26" s="29" t="s">
        <v>54</v>
      </c>
      <c r="D26" s="28" t="s">
        <v>53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049778-1698-4f71-891d-d0468521a2c4" xsi:nil="true"/>
    <lcf76f155ced4ddcb4097134ff3c332f xmlns="d944a76f-f1c4-4c35-8718-0da1a89f998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0DD5F0CFC9474AA5776E0FD5B5E5C6" ma:contentTypeVersion="13" ma:contentTypeDescription="Create a new document." ma:contentTypeScope="" ma:versionID="08b47768fe9cc6acb495570694cf21c4">
  <xsd:schema xmlns:xsd="http://www.w3.org/2001/XMLSchema" xmlns:xs="http://www.w3.org/2001/XMLSchema" xmlns:p="http://schemas.microsoft.com/office/2006/metadata/properties" xmlns:ns2="d944a76f-f1c4-4c35-8718-0da1a89f998d" xmlns:ns3="82049778-1698-4f71-891d-d0468521a2c4" targetNamespace="http://schemas.microsoft.com/office/2006/metadata/properties" ma:root="true" ma:fieldsID="d1c2cf4abb11fc9fcc001b437bb555ff" ns2:_="" ns3:_="">
    <xsd:import namespace="d944a76f-f1c4-4c35-8718-0da1a89f998d"/>
    <xsd:import namespace="82049778-1698-4f71-891d-d0468521a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4a76f-f1c4-4c35-8718-0da1a89f9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49778-1698-4f71-891d-d0468521a2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103a43-51d6-45bf-9f97-dc0f4644a333}" ma:internalName="TaxCatchAll" ma:showField="CatchAllData" ma:web="82049778-1698-4f71-891d-d0468521a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0E99BB-97E1-4E82-B5C1-AC7F7FAA91A9}">
  <ds:schemaRefs>
    <ds:schemaRef ds:uri="http://schemas.microsoft.com/office/2006/metadata/properties"/>
    <ds:schemaRef ds:uri="http://schemas.microsoft.com/office/infopath/2007/PartnerControls"/>
    <ds:schemaRef ds:uri="82049778-1698-4f71-891d-d0468521a2c4"/>
    <ds:schemaRef ds:uri="d944a76f-f1c4-4c35-8718-0da1a89f998d"/>
  </ds:schemaRefs>
</ds:datastoreItem>
</file>

<file path=customXml/itemProps2.xml><?xml version="1.0" encoding="utf-8"?>
<ds:datastoreItem xmlns:ds="http://schemas.openxmlformats.org/officeDocument/2006/customXml" ds:itemID="{68B6E206-1134-4C57-B48E-0CAEE8503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44a76f-f1c4-4c35-8718-0da1a89f998d"/>
    <ds:schemaRef ds:uri="82049778-1698-4f71-891d-d0468521a2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2A6D3D-A0AA-490F-A95D-1D533BD65E4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Prozzi, Jolanda</dc:creator>
  <cp:lastModifiedBy>Ajith, Adithya</cp:lastModifiedBy>
  <dcterms:created xsi:type="dcterms:W3CDTF">2026-02-22T02:29:25Z</dcterms:created>
  <dcterms:modified xsi:type="dcterms:W3CDTF">2026-02-22T21:02:50Z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0x010100090DD5F0CFC9474AA5776E0FD5B5E5C6</vt:lpwstr>
  </property>
  <property fmtid="{D5CDD505-2E9C-101B-9397-08002B2CF9AE}" pid="3" name="MediaServiceImageTags">
    <vt:lpwstr/>
  </property>
</Properties>
</file>